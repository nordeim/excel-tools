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t1" sheetId="2" state="visible" r:id="rId2"/>
    <sheet xmlns:r="http://schemas.openxmlformats.org/officeDocument/2006/relationships" name="Dept2" sheetId="3" state="visible" r:id="rId3"/>
    <sheet xmlns:r="http://schemas.openxmlformats.org/officeDocument/2006/relationships" name="Dept3" sheetId="4" state="visible" r:id="rId4"/>
    <sheet xmlns:r="http://schemas.openxmlformats.org/officeDocument/2006/relationships" name="Dept4" sheetId="5" state="visible" r:id="rId5"/>
    <sheet xmlns:r="http://schemas.openxmlformats.org/officeDocument/2006/relationships" name="Dept5" sheetId="6" state="visible" r:id="rId6"/>
    <sheet xmlns:r="http://schemas.openxmlformats.org/officeDocument/2006/relationships" name="Dept6" sheetId="7" state="visible" r:id="rId7"/>
    <sheet xmlns:r="http://schemas.openxmlformats.org/officeDocument/2006/relationships" name="Dept7" sheetId="8" state="visible" r:id="rId8"/>
    <sheet xmlns:r="http://schemas.openxmlformats.org/officeDocument/2006/relationships" name="Dept8" sheetId="9" state="visible" r:id="rId9"/>
    <sheet xmlns:r="http://schemas.openxmlformats.org/officeDocument/2006/relationships" name="Dept9" sheetId="10" state="visible" r:id="rId10"/>
    <sheet xmlns:r="http://schemas.openxmlformats.org/officeDocument/2006/relationships" name="Dept10" sheetId="11" state="visible" r:id="rId11"/>
  </sheets>
  <definedNames>
    <definedName name="AllRevenue">Summary!$B$3:$B$12</definedName>
    <definedName name="GrandProfit">Summary!$D$13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Summary</t>
        </is>
      </c>
    </row>
    <row r="2">
      <c r="A2" t="inlineStr">
        <is>
          <t>Department</t>
        </is>
      </c>
      <c r="B2" t="inlineStr">
        <is>
          <t>Revenue</t>
        </is>
      </c>
      <c r="C2" t="inlineStr">
        <is>
          <t>Cost</t>
        </is>
      </c>
      <c r="D2" t="inlineStr">
        <is>
          <t>Profit</t>
        </is>
      </c>
      <c r="E2" t="inlineStr">
        <is>
          <t>Margin</t>
        </is>
      </c>
    </row>
    <row r="3">
      <c r="A3" t="inlineStr">
        <is>
          <t>Dept1</t>
        </is>
      </c>
      <c r="B3">
        <f>'Dept1'!B14</f>
        <v/>
      </c>
      <c r="C3">
        <f>'Dept1'!C14</f>
        <v/>
      </c>
      <c r="D3">
        <f>'Dept1'!D14</f>
        <v/>
      </c>
      <c r="E3">
        <f>'Dept1'!E14</f>
        <v/>
      </c>
    </row>
    <row r="4">
      <c r="A4" t="inlineStr">
        <is>
          <t>Dept2</t>
        </is>
      </c>
      <c r="B4">
        <f>'Dept2'!B14</f>
        <v/>
      </c>
      <c r="C4">
        <f>'Dept2'!C14</f>
        <v/>
      </c>
      <c r="D4">
        <f>'Dept2'!D14</f>
        <v/>
      </c>
      <c r="E4">
        <f>'Dept2'!E14</f>
        <v/>
      </c>
    </row>
    <row r="5">
      <c r="A5" t="inlineStr">
        <is>
          <t>Dept3</t>
        </is>
      </c>
      <c r="B5">
        <f>'Dept3'!B14</f>
        <v/>
      </c>
      <c r="C5">
        <f>'Dept3'!C14</f>
        <v/>
      </c>
      <c r="D5">
        <f>'Dept3'!D14</f>
        <v/>
      </c>
      <c r="E5">
        <f>'Dept3'!E14</f>
        <v/>
      </c>
    </row>
    <row r="6">
      <c r="A6" t="inlineStr">
        <is>
          <t>Dept4</t>
        </is>
      </c>
      <c r="B6">
        <f>'Dept4'!B14</f>
        <v/>
      </c>
      <c r="C6">
        <f>'Dept4'!C14</f>
        <v/>
      </c>
      <c r="D6">
        <f>'Dept4'!D14</f>
        <v/>
      </c>
      <c r="E6">
        <f>'Dept4'!E14</f>
        <v/>
      </c>
    </row>
    <row r="7">
      <c r="A7" t="inlineStr">
        <is>
          <t>Dept5</t>
        </is>
      </c>
      <c r="B7">
        <f>'Dept5'!B14</f>
        <v/>
      </c>
      <c r="C7">
        <f>'Dept5'!C14</f>
        <v/>
      </c>
      <c r="D7">
        <f>'Dept5'!D14</f>
        <v/>
      </c>
      <c r="E7">
        <f>'Dept5'!E14</f>
        <v/>
      </c>
    </row>
    <row r="8">
      <c r="A8" t="inlineStr">
        <is>
          <t>Dept6</t>
        </is>
      </c>
      <c r="B8">
        <f>'Dept6'!B14</f>
        <v/>
      </c>
      <c r="C8">
        <f>'Dept6'!C14</f>
        <v/>
      </c>
      <c r="D8">
        <f>'Dept6'!D14</f>
        <v/>
      </c>
      <c r="E8">
        <f>'Dept6'!E14</f>
        <v/>
      </c>
    </row>
    <row r="9">
      <c r="A9" t="inlineStr">
        <is>
          <t>Dept7</t>
        </is>
      </c>
      <c r="B9">
        <f>'Dept7'!B14</f>
        <v/>
      </c>
      <c r="C9">
        <f>'Dept7'!C14</f>
        <v/>
      </c>
      <c r="D9">
        <f>'Dept7'!D14</f>
        <v/>
      </c>
      <c r="E9">
        <f>'Dept7'!E14</f>
        <v/>
      </c>
    </row>
    <row r="10">
      <c r="A10" t="inlineStr">
        <is>
          <t>Dept8</t>
        </is>
      </c>
      <c r="B10">
        <f>'Dept8'!B14</f>
        <v/>
      </c>
      <c r="C10">
        <f>'Dept8'!C14</f>
        <v/>
      </c>
      <c r="D10">
        <f>'Dept8'!D14</f>
        <v/>
      </c>
      <c r="E10">
        <f>'Dept8'!E14</f>
        <v/>
      </c>
    </row>
    <row r="11">
      <c r="A11" t="inlineStr">
        <is>
          <t>Dept9</t>
        </is>
      </c>
      <c r="B11">
        <f>'Dept9'!B14</f>
        <v/>
      </c>
      <c r="C11">
        <f>'Dept9'!C14</f>
        <v/>
      </c>
      <c r="D11">
        <f>'Dept9'!D14</f>
        <v/>
      </c>
      <c r="E11">
        <f>'Dept9'!E14</f>
        <v/>
      </c>
    </row>
    <row r="12">
      <c r="A12" t="inlineStr">
        <is>
          <t>Dept10</t>
        </is>
      </c>
      <c r="B12">
        <f>'Dept10'!B14</f>
        <v/>
      </c>
      <c r="C12">
        <f>'Dept10'!C14</f>
        <v/>
      </c>
      <c r="D12">
        <f>'Dept10'!D14</f>
        <v/>
      </c>
      <c r="E12">
        <f>'Dept10'!E14</f>
        <v/>
      </c>
    </row>
    <row r="13">
      <c r="A13" s="2" t="inlineStr">
        <is>
          <t>Grand Total</t>
        </is>
      </c>
      <c r="B13">
        <f>SUM(B3:B12)</f>
        <v/>
      </c>
      <c r="C13">
        <f>SUM(C3:C12)</f>
        <v/>
      </c>
      <c r="D13">
        <f>SUM(D3:D12)</f>
        <v/>
      </c>
      <c r="E13">
        <f>IF(B13&gt;0,D13/B13,0)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10500</v>
      </c>
      <c r="C2" t="n">
        <v>6300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11000</v>
      </c>
      <c r="C3" t="n">
        <v>6600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11500</v>
      </c>
      <c r="C4" t="n">
        <v>6900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12000</v>
      </c>
      <c r="C5" t="n">
        <v>7200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12500</v>
      </c>
      <c r="C6" t="n">
        <v>7500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13000</v>
      </c>
      <c r="C7" t="n">
        <v>7800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13500</v>
      </c>
      <c r="C8" t="n">
        <v>8100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14000</v>
      </c>
      <c r="C9" t="n">
        <v>8400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14500</v>
      </c>
      <c r="C10" t="n">
        <v>8700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15000</v>
      </c>
      <c r="C11" t="n">
        <v>9000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15500</v>
      </c>
      <c r="C12" t="n">
        <v>9300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16000</v>
      </c>
      <c r="C13" t="n">
        <v>9600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20500</v>
      </c>
      <c r="C2" t="n">
        <v>12300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21000</v>
      </c>
      <c r="C3" t="n">
        <v>12600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21500</v>
      </c>
      <c r="C4" t="n">
        <v>12900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22000</v>
      </c>
      <c r="C5" t="n">
        <v>13200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22500</v>
      </c>
      <c r="C6" t="n">
        <v>13500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23000</v>
      </c>
      <c r="C7" t="n">
        <v>13800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23500</v>
      </c>
      <c r="C8" t="n">
        <v>14100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24000</v>
      </c>
      <c r="C9" t="n">
        <v>14400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24500</v>
      </c>
      <c r="C10" t="n">
        <v>14700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25000</v>
      </c>
      <c r="C11" t="n">
        <v>15000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25500</v>
      </c>
      <c r="C12" t="n">
        <v>15300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26000</v>
      </c>
      <c r="C13" t="n">
        <v>15600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30500</v>
      </c>
      <c r="C2" t="n">
        <v>18300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31000</v>
      </c>
      <c r="C3" t="n">
        <v>18600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31500</v>
      </c>
      <c r="C4" t="n">
        <v>18900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32000</v>
      </c>
      <c r="C5" t="n">
        <v>19200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32500</v>
      </c>
      <c r="C6" t="n">
        <v>19500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33000</v>
      </c>
      <c r="C7" t="n">
        <v>19800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33500</v>
      </c>
      <c r="C8" t="n">
        <v>20100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34000</v>
      </c>
      <c r="C9" t="n">
        <v>20400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34500</v>
      </c>
      <c r="C10" t="n">
        <v>20700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35000</v>
      </c>
      <c r="C11" t="n">
        <v>21000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35500</v>
      </c>
      <c r="C12" t="n">
        <v>21300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36000</v>
      </c>
      <c r="C13" t="n">
        <v>21600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40500</v>
      </c>
      <c r="C2" t="n">
        <v>24300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41000</v>
      </c>
      <c r="C3" t="n">
        <v>24600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41500</v>
      </c>
      <c r="C4" t="n">
        <v>24900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42000</v>
      </c>
      <c r="C5" t="n">
        <v>25200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42500</v>
      </c>
      <c r="C6" t="n">
        <v>25500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43000</v>
      </c>
      <c r="C7" t="n">
        <v>25800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43500</v>
      </c>
      <c r="C8" t="n">
        <v>26100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44000</v>
      </c>
      <c r="C9" t="n">
        <v>26400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44500</v>
      </c>
      <c r="C10" t="n">
        <v>26700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45000</v>
      </c>
      <c r="C11" t="n">
        <v>27000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45500</v>
      </c>
      <c r="C12" t="n">
        <v>27300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46000</v>
      </c>
      <c r="C13" t="n">
        <v>27600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50500</v>
      </c>
      <c r="C2" t="n">
        <v>30300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51000</v>
      </c>
      <c r="C3" t="n">
        <v>30600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51500</v>
      </c>
      <c r="C4" t="n">
        <v>30900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52000</v>
      </c>
      <c r="C5" t="n">
        <v>31200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52500</v>
      </c>
      <c r="C6" t="n">
        <v>31500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53000</v>
      </c>
      <c r="C7" t="n">
        <v>31800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53500</v>
      </c>
      <c r="C8" t="n">
        <v>32100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54000</v>
      </c>
      <c r="C9" t="n">
        <v>32400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54500</v>
      </c>
      <c r="C10" t="n">
        <v>32700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55000</v>
      </c>
      <c r="C11" t="n">
        <v>33000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55500</v>
      </c>
      <c r="C12" t="n">
        <v>33300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56000</v>
      </c>
      <c r="C13" t="n">
        <v>33600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60500</v>
      </c>
      <c r="C2" t="n">
        <v>36300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61000</v>
      </c>
      <c r="C3" t="n">
        <v>36600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61500</v>
      </c>
      <c r="C4" t="n">
        <v>36900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62000</v>
      </c>
      <c r="C5" t="n">
        <v>37200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62500</v>
      </c>
      <c r="C6" t="n">
        <v>37500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63000</v>
      </c>
      <c r="C7" t="n">
        <v>37800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63500</v>
      </c>
      <c r="C8" t="n">
        <v>38100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64000</v>
      </c>
      <c r="C9" t="n">
        <v>38400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64500</v>
      </c>
      <c r="C10" t="n">
        <v>38700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65000</v>
      </c>
      <c r="C11" t="n">
        <v>39000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65500</v>
      </c>
      <c r="C12" t="n">
        <v>39300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66000</v>
      </c>
      <c r="C13" t="n">
        <v>39600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70500</v>
      </c>
      <c r="C2" t="n">
        <v>42300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71000</v>
      </c>
      <c r="C3" t="n">
        <v>42600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71500</v>
      </c>
      <c r="C4" t="n">
        <v>42900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72000</v>
      </c>
      <c r="C5" t="n">
        <v>43200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72500</v>
      </c>
      <c r="C6" t="n">
        <v>43500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73000</v>
      </c>
      <c r="C7" t="n">
        <v>43800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73500</v>
      </c>
      <c r="C8" t="n">
        <v>44100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74000</v>
      </c>
      <c r="C9" t="n">
        <v>44400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74500</v>
      </c>
      <c r="C10" t="n">
        <v>44700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75000</v>
      </c>
      <c r="C11" t="n">
        <v>45000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75500</v>
      </c>
      <c r="C12" t="n">
        <v>45300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76000</v>
      </c>
      <c r="C13" t="n">
        <v>45600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80500</v>
      </c>
      <c r="C2" t="n">
        <v>48300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81000</v>
      </c>
      <c r="C3" t="n">
        <v>48600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81500</v>
      </c>
      <c r="C4" t="n">
        <v>48900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82000</v>
      </c>
      <c r="C5" t="n">
        <v>49200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82500</v>
      </c>
      <c r="C6" t="n">
        <v>49500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83000</v>
      </c>
      <c r="C7" t="n">
        <v>49800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83500</v>
      </c>
      <c r="C8" t="n">
        <v>50100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84000</v>
      </c>
      <c r="C9" t="n">
        <v>50400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84500</v>
      </c>
      <c r="C10" t="n">
        <v>50700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85000</v>
      </c>
      <c r="C11" t="n">
        <v>51000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85500</v>
      </c>
      <c r="C12" t="n">
        <v>51300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86000</v>
      </c>
      <c r="C13" t="n">
        <v>51600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90500</v>
      </c>
      <c r="C2" t="n">
        <v>54300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91000</v>
      </c>
      <c r="C3" t="n">
        <v>54600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91500</v>
      </c>
      <c r="C4" t="n">
        <v>54900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92000</v>
      </c>
      <c r="C5" t="n">
        <v>55200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92500</v>
      </c>
      <c r="C6" t="n">
        <v>55500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93000</v>
      </c>
      <c r="C7" t="n">
        <v>55800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93500</v>
      </c>
      <c r="C8" t="n">
        <v>56100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94000</v>
      </c>
      <c r="C9" t="n">
        <v>56400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94500</v>
      </c>
      <c r="C10" t="n">
        <v>56700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95000</v>
      </c>
      <c r="C11" t="n">
        <v>57000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95500</v>
      </c>
      <c r="C12" t="n">
        <v>57300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96000</v>
      </c>
      <c r="C13" t="n">
        <v>57600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2026-01</t>
        </is>
      </c>
      <c r="B2" t="n">
        <v>100500</v>
      </c>
      <c r="C2" t="n">
        <v>60300</v>
      </c>
      <c r="D2">
        <f>B2-C2</f>
        <v/>
      </c>
      <c r="E2">
        <f>IF(B2&gt;0,D2/B2,0)</f>
        <v/>
      </c>
    </row>
    <row r="3">
      <c r="A3" t="inlineStr">
        <is>
          <t>2026-02</t>
        </is>
      </c>
      <c r="B3" t="n">
        <v>101000</v>
      </c>
      <c r="C3" t="n">
        <v>60600</v>
      </c>
      <c r="D3">
        <f>B3-C3</f>
        <v/>
      </c>
      <c r="E3">
        <f>IF(B3&gt;0,D3/B3,0)</f>
        <v/>
      </c>
    </row>
    <row r="4">
      <c r="A4" t="inlineStr">
        <is>
          <t>2026-03</t>
        </is>
      </c>
      <c r="B4" t="n">
        <v>101500</v>
      </c>
      <c r="C4" t="n">
        <v>60900</v>
      </c>
      <c r="D4">
        <f>B4-C4</f>
        <v/>
      </c>
      <c r="E4">
        <f>IF(B4&gt;0,D4/B4,0)</f>
        <v/>
      </c>
    </row>
    <row r="5">
      <c r="A5" t="inlineStr">
        <is>
          <t>2026-04</t>
        </is>
      </c>
      <c r="B5" t="n">
        <v>102000</v>
      </c>
      <c r="C5" t="n">
        <v>61200</v>
      </c>
      <c r="D5">
        <f>B5-C5</f>
        <v/>
      </c>
      <c r="E5">
        <f>IF(B5&gt;0,D5/B5,0)</f>
        <v/>
      </c>
    </row>
    <row r="6">
      <c r="A6" t="inlineStr">
        <is>
          <t>2026-05</t>
        </is>
      </c>
      <c r="B6" t="n">
        <v>102500</v>
      </c>
      <c r="C6" t="n">
        <v>61500</v>
      </c>
      <c r="D6">
        <f>B6-C6</f>
        <v/>
      </c>
      <c r="E6">
        <f>IF(B6&gt;0,D6/B6,0)</f>
        <v/>
      </c>
    </row>
    <row r="7">
      <c r="A7" t="inlineStr">
        <is>
          <t>2026-06</t>
        </is>
      </c>
      <c r="B7" t="n">
        <v>103000</v>
      </c>
      <c r="C7" t="n">
        <v>61800</v>
      </c>
      <c r="D7">
        <f>B7-C7</f>
        <v/>
      </c>
      <c r="E7">
        <f>IF(B7&gt;0,D7/B7,0)</f>
        <v/>
      </c>
    </row>
    <row r="8">
      <c r="A8" t="inlineStr">
        <is>
          <t>2026-07</t>
        </is>
      </c>
      <c r="B8" t="n">
        <v>103500</v>
      </c>
      <c r="C8" t="n">
        <v>62100</v>
      </c>
      <c r="D8">
        <f>B8-C8</f>
        <v/>
      </c>
      <c r="E8">
        <f>IF(B8&gt;0,D8/B8,0)</f>
        <v/>
      </c>
    </row>
    <row r="9">
      <c r="A9" t="inlineStr">
        <is>
          <t>2026-08</t>
        </is>
      </c>
      <c r="B9" t="n">
        <v>104000</v>
      </c>
      <c r="C9" t="n">
        <v>62400</v>
      </c>
      <c r="D9">
        <f>B9-C9</f>
        <v/>
      </c>
      <c r="E9">
        <f>IF(B9&gt;0,D9/B9,0)</f>
        <v/>
      </c>
    </row>
    <row r="10">
      <c r="A10" t="inlineStr">
        <is>
          <t>2026-09</t>
        </is>
      </c>
      <c r="B10" t="n">
        <v>104500</v>
      </c>
      <c r="C10" t="n">
        <v>62700</v>
      </c>
      <c r="D10">
        <f>B10-C10</f>
        <v/>
      </c>
      <c r="E10">
        <f>IF(B10&gt;0,D10/B10,0)</f>
        <v/>
      </c>
    </row>
    <row r="11">
      <c r="A11" t="inlineStr">
        <is>
          <t>2026-10</t>
        </is>
      </c>
      <c r="B11" t="n">
        <v>105000</v>
      </c>
      <c r="C11" t="n">
        <v>63000</v>
      </c>
      <c r="D11">
        <f>B11-C11</f>
        <v/>
      </c>
      <c r="E11">
        <f>IF(B11&gt;0,D11/B11,0)</f>
        <v/>
      </c>
    </row>
    <row r="12">
      <c r="A12" t="inlineStr">
        <is>
          <t>2026-11</t>
        </is>
      </c>
      <c r="B12" t="n">
        <v>105500</v>
      </c>
      <c r="C12" t="n">
        <v>63300</v>
      </c>
      <c r="D12">
        <f>B12-C12</f>
        <v/>
      </c>
      <c r="E12">
        <f>IF(B12&gt;0,D12/B12,0)</f>
        <v/>
      </c>
    </row>
    <row r="13">
      <c r="A13" t="inlineStr">
        <is>
          <t>2026-12</t>
        </is>
      </c>
      <c r="B13" t="n">
        <v>106000</v>
      </c>
      <c r="C13" t="n">
        <v>63600</v>
      </c>
      <c r="D13">
        <f>B13-C13</f>
        <v/>
      </c>
      <c r="E13">
        <f>IF(B13&gt;0,D13/B13,0)</f>
        <v/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IF(B14&gt;0,D14/B14,0)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2026-04-08T07:14:45Z</dcterms:created>
  <dcterms:modified xmlns:dcterms="http://purl.org/dc/terms/" xmlns:xsi="http://www.w3.org/2001/XMLSchema-instance" xsi:type="dcterms:W3CDTF">2026-04-08T07:14:45Z</dcterms:modified>
</cp:coreProperties>
</file>